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Code_Python\fcgadgets\cbrunner\Parameters\"/>
    </mc:Choice>
  </mc:AlternateContent>
  <xr:revisionPtr revIDLastSave="0" documentId="13_ncr:1_{6F52F10A-878A-45F8-8E58-7EAA74DAF232}" xr6:coauthVersionLast="47" xr6:coauthVersionMax="47" xr10:uidLastSave="{00000000-0000-0000-0000-000000000000}"/>
  <bookViews>
    <workbookView xWindow="12645" yWindow="0" windowWidth="15735" windowHeight="1800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<sst xmlns="http://schemas.openxmlformats.org/spreadsheetml/2006/main" count="102" uniqueCount="42">
  <si>
    <t>BAFA</t>
  </si>
  <si>
    <t>BG</t>
  </si>
  <si>
    <t>BWBS</t>
  </si>
  <si>
    <t>CDF</t>
  </si>
  <si>
    <t>CMA</t>
  </si>
  <si>
    <t>CWH</t>
  </si>
  <si>
    <t>ESSF</t>
  </si>
  <si>
    <t>ICH</t>
  </si>
  <si>
    <t>IDF</t>
  </si>
  <si>
    <t>IMA</t>
  </si>
  <si>
    <t>MH</t>
  </si>
  <si>
    <t>MS</t>
  </si>
  <si>
    <t>PP</t>
  </si>
  <si>
    <t>SBPS</t>
  </si>
  <si>
    <t>SBS</t>
  </si>
  <si>
    <t>SWB</t>
  </si>
  <si>
    <t>Zone</t>
  </si>
  <si>
    <t>https://www2.gov.bc.ca/assets/gov/farming-natural-resources-and-industry/forestry/stewardship/forest-analysis-inventory/data-management/news/estimates_mortality_rates_2021_wildfires_final.pdf</t>
  </si>
  <si>
    <t>https://www2.gov.bc.ca/assets/gov/farming-natural-resources-and-industry/forestry/stewardship/forest-analysis-inventory/data-management/news/2023_fire_analyses_report_20231109.docx</t>
  </si>
  <si>
    <t>Mortality Source</t>
  </si>
  <si>
    <t>Po Unburned</t>
  </si>
  <si>
    <t>Po Low</t>
  </si>
  <si>
    <t>Po Medium</t>
  </si>
  <si>
    <t>Po High</t>
  </si>
  <si>
    <t>Po Source</t>
  </si>
  <si>
    <t>Logistic regression analysis (see burnsever from fcexplore)</t>
  </si>
  <si>
    <t>M Unburned</t>
  </si>
  <si>
    <t>M Low</t>
  </si>
  <si>
    <t>M Medium</t>
  </si>
  <si>
    <t>M High</t>
  </si>
  <si>
    <t>Po Sum</t>
  </si>
  <si>
    <t>Cariboo</t>
  </si>
  <si>
    <t>Lilles et al. and Kitchens et al. 2022</t>
  </si>
  <si>
    <t>Forest Floor Low</t>
  </si>
  <si>
    <t>Forest Floor Medium</t>
  </si>
  <si>
    <t>Forest Floor High</t>
  </si>
  <si>
    <t>Forest Floor Source</t>
  </si>
  <si>
    <t>Mineral Soil Horizon Low</t>
  </si>
  <si>
    <t>Mineral Soil Horizon Source</t>
  </si>
  <si>
    <t>Mineral Soil Horizon Medium</t>
  </si>
  <si>
    <t>Mineral Soil Horizon High</t>
  </si>
  <si>
    <t>Philpott et al (2025), see Workbook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</si>
</sst>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/>
    </xf>
    <xf numFmtId="2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left" vertical="top"/>
    </xf>
    <xf numFmtId="2" fontId="2" fillId="0" borderId="0" xfId="1" applyNumberFormat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3" borderId="0" xfId="0" applyFont="1" applyFill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0" fillId="0" borderId="0" xfId="0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2.gov.bc.ca/assets/gov/farming-natural-resources-and-industry/forestry/stewardship/forest-analysis-inventory/data-management/news/estimates_mortality_rates_2021_wildfires_final.pdf" TargetMode="External"/><Relationship Id="rId1" Type="http://schemas.openxmlformats.org/officeDocument/2006/relationships/hyperlink" Target="https://www2.gov.bc.ca/assets/gov/farming-natural-resources-and-industry/forestry/stewardship/forest-analysis-inventory/data-management/news/2023_fire_analyses_report_20231109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6"/>
  <sheetViews>
    <sheetView tabSelected="1" topLeftCell="K1" workbookViewId="0">
      <selection activeCell="P15" sqref="P15"/>
    </sheetView>
  </sheetViews>
  <sheetFormatPr defaultRowHeight="15" x14ac:dyDescent="0.25"/>
  <cols>
    <col min="1" max="1" width="7.5703125" customWidth="1"/>
    <col min="2" max="2" width="9.85546875" customWidth="1"/>
    <col min="3" max="3" width="5.85546875" customWidth="1"/>
    <col min="4" max="4" width="9.28515625" customWidth="1"/>
    <col min="5" max="6" width="6.7109375" customWidth="1"/>
    <col min="7" max="7" width="13.7109375" customWidth="1"/>
    <col min="8" max="8" width="10.7109375" customWidth="1"/>
    <col min="9" max="9" width="9" customWidth="1"/>
    <col min="10" max="10" width="10.42578125" customWidth="1"/>
    <col min="11" max="11" width="9.28515625" customWidth="1"/>
    <col min="12" max="12" width="15.28515625" customWidth="1"/>
    <col min="13" max="13" width="11.140625" customWidth="1"/>
    <col min="14" max="14" width="8.140625" customWidth="1"/>
    <col min="15" max="15" width="11.28515625" customWidth="1"/>
    <col min="16" max="16" width="12.7109375" customWidth="1"/>
    <col min="17" max="20" width="12.42578125" customWidth="1"/>
  </cols>
  <sheetData>
    <row r="1" spans="1:20" s="1" customFormat="1" ht="30.6" customHeight="1" x14ac:dyDescent="0.25">
      <c r="A1" s="2" t="s">
        <v>16</v>
      </c>
      <c r="B1" s="10" t="s">
        <v>20</v>
      </c>
      <c r="C1" s="10" t="s">
        <v>21</v>
      </c>
      <c r="D1" s="10" t="s">
        <v>22</v>
      </c>
      <c r="E1" s="10" t="s">
        <v>23</v>
      </c>
      <c r="F1" s="10" t="s">
        <v>30</v>
      </c>
      <c r="G1" s="10" t="s">
        <v>24</v>
      </c>
      <c r="H1" s="11" t="s">
        <v>26</v>
      </c>
      <c r="I1" s="11" t="s">
        <v>27</v>
      </c>
      <c r="J1" s="11" t="s">
        <v>28</v>
      </c>
      <c r="K1" s="11" t="s">
        <v>29</v>
      </c>
      <c r="L1" s="11" t="s">
        <v>19</v>
      </c>
      <c r="M1" s="12" t="s">
        <v>33</v>
      </c>
      <c r="N1" s="12" t="s">
        <v>34</v>
      </c>
      <c r="O1" s="12" t="s">
        <v>35</v>
      </c>
      <c r="P1" s="12" t="s">
        <v>36</v>
      </c>
      <c r="Q1" s="13" t="s">
        <v>37</v>
      </c>
      <c r="R1" s="13" t="s">
        <v>39</v>
      </c>
      <c r="S1" s="13" t="s">
        <v>40</v>
      </c>
      <c r="T1" s="13" t="s">
        <v>38</v>
      </c>
    </row>
    <row r="2" spans="1:20" s="3" customFormat="1" x14ac:dyDescent="0.25">
      <c r="A2" s="3" t="s">
        <v>0</v>
      </c>
      <c r="B2" s="4">
        <v>0.18</v>
      </c>
      <c r="C2" s="4">
        <v>0.18</v>
      </c>
      <c r="D2" s="4">
        <v>0.32</v>
      </c>
      <c r="E2" s="4">
        <v>0.32</v>
      </c>
      <c r="F2" s="4">
        <f>SUM(B2:E2)</f>
        <v>1</v>
      </c>
      <c r="G2" s="3" t="s">
        <v>25</v>
      </c>
      <c r="H2" s="4">
        <v>0.15</v>
      </c>
      <c r="I2" s="4">
        <v>0.21</v>
      </c>
      <c r="J2" s="4">
        <v>0.4</v>
      </c>
      <c r="K2" s="4">
        <v>0.89</v>
      </c>
      <c r="L2" s="9" t="s">
        <v>17</v>
      </c>
      <c r="M2" s="4">
        <v>0.98</v>
      </c>
      <c r="N2" s="5">
        <v>0.7</v>
      </c>
      <c r="O2" s="6">
        <v>0</v>
      </c>
      <c r="P2" s="6" t="s">
        <v>41</v>
      </c>
      <c r="Q2" s="4">
        <v>0.9</v>
      </c>
      <c r="R2" s="4">
        <v>0.9</v>
      </c>
      <c r="S2" s="4">
        <v>0.79</v>
      </c>
      <c r="T2" s="6" t="s">
        <v>41</v>
      </c>
    </row>
    <row r="3" spans="1:20" s="3" customFormat="1" x14ac:dyDescent="0.25">
      <c r="A3" s="3" t="s">
        <v>1</v>
      </c>
      <c r="B3" s="4">
        <v>0.18</v>
      </c>
      <c r="C3" s="4">
        <v>0.18</v>
      </c>
      <c r="D3" s="4">
        <v>0.32</v>
      </c>
      <c r="E3" s="4">
        <v>0.32</v>
      </c>
      <c r="F3" s="4">
        <f t="shared" ref="F3:F17" si="0">SUM(B3:E3)</f>
        <v>1</v>
      </c>
      <c r="G3" s="3" t="s">
        <v>25</v>
      </c>
      <c r="H3" s="4">
        <v>0.15</v>
      </c>
      <c r="I3" s="4">
        <v>0.21</v>
      </c>
      <c r="J3" s="4">
        <v>0.4</v>
      </c>
      <c r="K3" s="4">
        <v>0.89</v>
      </c>
      <c r="L3" s="4" t="s">
        <v>17</v>
      </c>
      <c r="M3" s="4">
        <v>0.98</v>
      </c>
      <c r="N3" s="5">
        <v>0.7</v>
      </c>
      <c r="O3" s="6">
        <v>0</v>
      </c>
      <c r="P3" s="6" t="s">
        <v>41</v>
      </c>
      <c r="Q3" s="4">
        <v>0.9</v>
      </c>
      <c r="R3" s="4">
        <v>0.9</v>
      </c>
      <c r="S3" s="4">
        <v>0.79</v>
      </c>
      <c r="T3" s="6" t="s">
        <v>41</v>
      </c>
    </row>
    <row r="4" spans="1:20" s="3" customFormat="1" x14ac:dyDescent="0.25">
      <c r="A4" s="3" t="s">
        <v>2</v>
      </c>
      <c r="B4" s="4">
        <v>0.18</v>
      </c>
      <c r="C4" s="4">
        <v>0.18</v>
      </c>
      <c r="D4" s="4">
        <v>0.32</v>
      </c>
      <c r="E4" s="4">
        <v>0.32</v>
      </c>
      <c r="F4" s="4">
        <f t="shared" si="0"/>
        <v>1</v>
      </c>
      <c r="G4" s="3" t="s">
        <v>25</v>
      </c>
      <c r="H4" s="4">
        <v>0</v>
      </c>
      <c r="I4" s="4">
        <v>0.16</v>
      </c>
      <c r="J4" s="4">
        <v>0.46</v>
      </c>
      <c r="K4" s="4">
        <v>0.99</v>
      </c>
      <c r="L4" s="9" t="s">
        <v>18</v>
      </c>
      <c r="M4" s="4">
        <v>0.98</v>
      </c>
      <c r="N4" s="5">
        <v>0.7</v>
      </c>
      <c r="O4" s="6">
        <v>0</v>
      </c>
      <c r="P4" s="6" t="s">
        <v>41</v>
      </c>
      <c r="Q4" s="4">
        <v>0.9</v>
      </c>
      <c r="R4" s="4">
        <v>0.9</v>
      </c>
      <c r="S4" s="4">
        <v>0.79</v>
      </c>
      <c r="T4" s="6" t="s">
        <v>41</v>
      </c>
    </row>
    <row r="5" spans="1:20" s="3" customFormat="1" x14ac:dyDescent="0.25">
      <c r="A5" s="3" t="s">
        <v>3</v>
      </c>
      <c r="B5" s="4">
        <v>0.18</v>
      </c>
      <c r="C5" s="4">
        <v>0.18</v>
      </c>
      <c r="D5" s="4">
        <v>0.32</v>
      </c>
      <c r="E5" s="4">
        <v>0.32</v>
      </c>
      <c r="F5" s="4">
        <f t="shared" si="0"/>
        <v>1</v>
      </c>
      <c r="G5" s="3" t="s">
        <v>25</v>
      </c>
      <c r="H5" s="4">
        <v>0.15</v>
      </c>
      <c r="I5" s="4">
        <v>0.21</v>
      </c>
      <c r="J5" s="4">
        <v>0.4</v>
      </c>
      <c r="K5" s="4">
        <v>0.89</v>
      </c>
      <c r="L5" s="4" t="s">
        <v>17</v>
      </c>
      <c r="M5" s="4">
        <v>0.98</v>
      </c>
      <c r="N5" s="5">
        <v>0.7</v>
      </c>
      <c r="O5" s="6">
        <v>0</v>
      </c>
      <c r="P5" s="6" t="s">
        <v>41</v>
      </c>
      <c r="Q5" s="4">
        <v>0.9</v>
      </c>
      <c r="R5" s="4">
        <v>0.9</v>
      </c>
      <c r="S5" s="4">
        <v>0.79</v>
      </c>
      <c r="T5" s="6" t="s">
        <v>41</v>
      </c>
    </row>
    <row r="6" spans="1:20" s="3" customFormat="1" x14ac:dyDescent="0.25">
      <c r="A6" s="3" t="s">
        <v>4</v>
      </c>
      <c r="B6" s="4">
        <v>0.18</v>
      </c>
      <c r="C6" s="4">
        <v>0.18</v>
      </c>
      <c r="D6" s="4">
        <v>0.32</v>
      </c>
      <c r="E6" s="4">
        <v>0.32</v>
      </c>
      <c r="F6" s="4">
        <f t="shared" si="0"/>
        <v>1</v>
      </c>
      <c r="G6" s="3" t="s">
        <v>25</v>
      </c>
      <c r="H6" s="4">
        <v>0.15</v>
      </c>
      <c r="I6" s="4">
        <v>0.21</v>
      </c>
      <c r="J6" s="4">
        <v>0.4</v>
      </c>
      <c r="K6" s="4">
        <v>0.89</v>
      </c>
      <c r="L6" s="4" t="s">
        <v>17</v>
      </c>
      <c r="M6" s="4">
        <v>0.98</v>
      </c>
      <c r="N6" s="5">
        <v>0.7</v>
      </c>
      <c r="O6" s="6">
        <v>0</v>
      </c>
      <c r="P6" s="6" t="s">
        <v>41</v>
      </c>
      <c r="Q6" s="4">
        <v>0.9</v>
      </c>
      <c r="R6" s="4">
        <v>0.9</v>
      </c>
      <c r="S6" s="4">
        <v>0.79</v>
      </c>
      <c r="T6" s="6" t="s">
        <v>41</v>
      </c>
    </row>
    <row r="7" spans="1:20" s="3" customFormat="1" x14ac:dyDescent="0.25">
      <c r="A7" s="3" t="s">
        <v>5</v>
      </c>
      <c r="B7" s="4">
        <v>0.18</v>
      </c>
      <c r="C7" s="4">
        <v>0.18</v>
      </c>
      <c r="D7" s="4">
        <v>0.32</v>
      </c>
      <c r="E7" s="4">
        <v>0.32</v>
      </c>
      <c r="F7" s="4">
        <f t="shared" si="0"/>
        <v>1</v>
      </c>
      <c r="G7" s="3" t="s">
        <v>25</v>
      </c>
      <c r="H7" s="4">
        <v>0.15</v>
      </c>
      <c r="I7" s="4">
        <v>0.21</v>
      </c>
      <c r="J7" s="4">
        <v>0.4</v>
      </c>
      <c r="K7" s="4">
        <v>0.89</v>
      </c>
      <c r="L7" s="4" t="s">
        <v>17</v>
      </c>
      <c r="M7" s="4">
        <v>0.98</v>
      </c>
      <c r="N7" s="5">
        <v>0.7</v>
      </c>
      <c r="O7" s="6">
        <v>0</v>
      </c>
      <c r="P7" s="6" t="s">
        <v>41</v>
      </c>
      <c r="Q7" s="4">
        <v>0.9</v>
      </c>
      <c r="R7" s="4">
        <v>0.9</v>
      </c>
      <c r="S7" s="4">
        <v>0.79</v>
      </c>
      <c r="T7" s="6" t="s">
        <v>41</v>
      </c>
    </row>
    <row r="8" spans="1:20" s="3" customFormat="1" x14ac:dyDescent="0.25">
      <c r="A8" s="3" t="s">
        <v>6</v>
      </c>
      <c r="B8" s="4">
        <v>0.18</v>
      </c>
      <c r="C8" s="4">
        <v>0.18</v>
      </c>
      <c r="D8" s="4">
        <v>0.32</v>
      </c>
      <c r="E8" s="4">
        <v>0.32</v>
      </c>
      <c r="F8" s="4">
        <f t="shared" si="0"/>
        <v>1</v>
      </c>
      <c r="G8" s="3" t="s">
        <v>25</v>
      </c>
      <c r="H8" s="4">
        <v>0.15</v>
      </c>
      <c r="I8" s="4">
        <v>0.21</v>
      </c>
      <c r="J8" s="4">
        <v>0.4</v>
      </c>
      <c r="K8" s="4">
        <v>0.89</v>
      </c>
      <c r="L8" s="4" t="s">
        <v>17</v>
      </c>
      <c r="M8" s="4">
        <v>0.98</v>
      </c>
      <c r="N8" s="5">
        <v>0.7</v>
      </c>
      <c r="O8" s="6">
        <v>0</v>
      </c>
      <c r="P8" s="6" t="s">
        <v>41</v>
      </c>
      <c r="Q8" s="4">
        <v>0.9</v>
      </c>
      <c r="R8" s="4">
        <v>0.9</v>
      </c>
      <c r="S8" s="4">
        <v>0.79</v>
      </c>
      <c r="T8" s="6" t="s">
        <v>41</v>
      </c>
    </row>
    <row r="9" spans="1:20" s="3" customFormat="1" x14ac:dyDescent="0.25">
      <c r="A9" s="3" t="s">
        <v>7</v>
      </c>
      <c r="B9" s="4">
        <v>0.18</v>
      </c>
      <c r="C9" s="4">
        <v>0.18</v>
      </c>
      <c r="D9" s="4">
        <v>0.32</v>
      </c>
      <c r="E9" s="4">
        <v>0.32</v>
      </c>
      <c r="F9" s="4">
        <f t="shared" si="0"/>
        <v>1</v>
      </c>
      <c r="G9" s="3" t="s">
        <v>25</v>
      </c>
      <c r="H9" s="4">
        <v>0.15</v>
      </c>
      <c r="I9" s="4">
        <v>0.21</v>
      </c>
      <c r="J9" s="4">
        <v>0.4</v>
      </c>
      <c r="K9" s="4">
        <v>0.89</v>
      </c>
      <c r="L9" s="4" t="s">
        <v>17</v>
      </c>
      <c r="M9" s="4">
        <v>0.98</v>
      </c>
      <c r="N9" s="5">
        <v>0.7</v>
      </c>
      <c r="O9" s="6">
        <v>0</v>
      </c>
      <c r="P9" s="6" t="s">
        <v>41</v>
      </c>
      <c r="Q9" s="4">
        <v>0.9</v>
      </c>
      <c r="R9" s="4">
        <v>0.9</v>
      </c>
      <c r="S9" s="4">
        <v>0.79</v>
      </c>
      <c r="T9" s="6" t="s">
        <v>41</v>
      </c>
    </row>
    <row r="10" spans="1:20" s="3" customFormat="1" x14ac:dyDescent="0.25">
      <c r="A10" s="3" t="s">
        <v>8</v>
      </c>
      <c r="B10" s="4">
        <v>0.18</v>
      </c>
      <c r="C10" s="4">
        <v>0.18</v>
      </c>
      <c r="D10" s="4">
        <v>0.32</v>
      </c>
      <c r="E10" s="4">
        <v>0.32</v>
      </c>
      <c r="F10" s="4">
        <f t="shared" si="0"/>
        <v>1</v>
      </c>
      <c r="G10" s="3" t="s">
        <v>25</v>
      </c>
      <c r="H10" s="4">
        <v>0.15</v>
      </c>
      <c r="I10" s="4">
        <v>0.21</v>
      </c>
      <c r="J10" s="4">
        <v>0.4</v>
      </c>
      <c r="K10" s="4">
        <v>0.89</v>
      </c>
      <c r="L10" s="4" t="s">
        <v>17</v>
      </c>
      <c r="M10" s="4">
        <v>0.98</v>
      </c>
      <c r="N10" s="5">
        <v>0.7</v>
      </c>
      <c r="O10" s="6">
        <v>0</v>
      </c>
      <c r="P10" s="6" t="s">
        <v>41</v>
      </c>
      <c r="Q10" s="4">
        <v>0.9</v>
      </c>
      <c r="R10" s="4">
        <v>0.9</v>
      </c>
      <c r="S10" s="4">
        <v>0.79</v>
      </c>
      <c r="T10" s="6" t="s">
        <v>41</v>
      </c>
    </row>
    <row r="11" spans="1:20" s="3" customFormat="1" x14ac:dyDescent="0.25">
      <c r="A11" s="3" t="s">
        <v>9</v>
      </c>
      <c r="B11" s="4">
        <v>0.18</v>
      </c>
      <c r="C11" s="4">
        <v>0.18</v>
      </c>
      <c r="D11" s="4">
        <v>0.32</v>
      </c>
      <c r="E11" s="4">
        <v>0.32</v>
      </c>
      <c r="F11" s="4">
        <f t="shared" si="0"/>
        <v>1</v>
      </c>
      <c r="G11" s="3" t="s">
        <v>25</v>
      </c>
      <c r="H11" s="4">
        <v>0.15</v>
      </c>
      <c r="I11" s="4">
        <v>0.21</v>
      </c>
      <c r="J11" s="4">
        <v>0.4</v>
      </c>
      <c r="K11" s="4">
        <v>0.89</v>
      </c>
      <c r="L11" s="4" t="s">
        <v>17</v>
      </c>
      <c r="M11" s="4">
        <v>0.98</v>
      </c>
      <c r="N11" s="5">
        <v>0.7</v>
      </c>
      <c r="O11" s="6">
        <v>0</v>
      </c>
      <c r="P11" s="6" t="s">
        <v>41</v>
      </c>
      <c r="Q11" s="4">
        <v>0.9</v>
      </c>
      <c r="R11" s="4">
        <v>0.9</v>
      </c>
      <c r="S11" s="4">
        <v>0.79</v>
      </c>
      <c r="T11" s="6" t="s">
        <v>41</v>
      </c>
    </row>
    <row r="12" spans="1:20" s="3" customFormat="1" x14ac:dyDescent="0.25">
      <c r="A12" s="3" t="s">
        <v>10</v>
      </c>
      <c r="B12" s="4">
        <v>0.18</v>
      </c>
      <c r="C12" s="4">
        <v>0.18</v>
      </c>
      <c r="D12" s="4">
        <v>0.32</v>
      </c>
      <c r="E12" s="4">
        <v>0.32</v>
      </c>
      <c r="F12" s="4">
        <f t="shared" si="0"/>
        <v>1</v>
      </c>
      <c r="G12" s="3" t="s">
        <v>25</v>
      </c>
      <c r="H12" s="4">
        <v>0.15</v>
      </c>
      <c r="I12" s="4">
        <v>0.21</v>
      </c>
      <c r="J12" s="4">
        <v>0.4</v>
      </c>
      <c r="K12" s="4">
        <v>0.89</v>
      </c>
      <c r="L12" s="4" t="s">
        <v>17</v>
      </c>
      <c r="M12" s="4">
        <v>0.98</v>
      </c>
      <c r="N12" s="5">
        <v>0.7</v>
      </c>
      <c r="O12" s="6">
        <v>0</v>
      </c>
      <c r="P12" s="6" t="s">
        <v>41</v>
      </c>
      <c r="Q12" s="4">
        <v>0.9</v>
      </c>
      <c r="R12" s="4">
        <v>0.9</v>
      </c>
      <c r="S12" s="4">
        <v>0.79</v>
      </c>
      <c r="T12" s="6" t="s">
        <v>41</v>
      </c>
    </row>
    <row r="13" spans="1:20" s="3" customFormat="1" x14ac:dyDescent="0.25">
      <c r="A13" s="3" t="s">
        <v>11</v>
      </c>
      <c r="B13" s="4">
        <v>0.18</v>
      </c>
      <c r="C13" s="4">
        <v>0.18</v>
      </c>
      <c r="D13" s="4">
        <v>0.32</v>
      </c>
      <c r="E13" s="4">
        <v>0.32</v>
      </c>
      <c r="F13" s="4">
        <f t="shared" si="0"/>
        <v>1</v>
      </c>
      <c r="G13" s="3" t="s">
        <v>25</v>
      </c>
      <c r="H13" s="4">
        <v>0.15</v>
      </c>
      <c r="I13" s="4">
        <v>0.21</v>
      </c>
      <c r="J13" s="4">
        <v>0.4</v>
      </c>
      <c r="K13" s="4">
        <v>0.89</v>
      </c>
      <c r="L13" s="4" t="s">
        <v>17</v>
      </c>
      <c r="M13" s="4">
        <v>0.98</v>
      </c>
      <c r="N13" s="5">
        <v>0.7</v>
      </c>
      <c r="O13" s="6">
        <v>0</v>
      </c>
      <c r="P13" s="6" t="s">
        <v>41</v>
      </c>
      <c r="Q13" s="4">
        <v>0.9</v>
      </c>
      <c r="R13" s="4">
        <v>0.9</v>
      </c>
      <c r="S13" s="4">
        <v>0.79</v>
      </c>
      <c r="T13" s="6" t="s">
        <v>41</v>
      </c>
    </row>
    <row r="14" spans="1:20" s="3" customFormat="1" x14ac:dyDescent="0.25">
      <c r="A14" s="3" t="s">
        <v>12</v>
      </c>
      <c r="B14" s="4">
        <v>0.18</v>
      </c>
      <c r="C14" s="4">
        <v>0.18</v>
      </c>
      <c r="D14" s="4">
        <v>0.32</v>
      </c>
      <c r="E14" s="4">
        <v>0.32</v>
      </c>
      <c r="F14" s="4">
        <f t="shared" si="0"/>
        <v>1</v>
      </c>
      <c r="G14" s="3" t="s">
        <v>25</v>
      </c>
      <c r="H14" s="4">
        <v>0.15</v>
      </c>
      <c r="I14" s="4">
        <v>0.21</v>
      </c>
      <c r="J14" s="4">
        <v>0.4</v>
      </c>
      <c r="K14" s="4">
        <v>0.89</v>
      </c>
      <c r="L14" s="4" t="s">
        <v>17</v>
      </c>
      <c r="M14" s="4">
        <v>0.98</v>
      </c>
      <c r="N14" s="5">
        <v>0.7</v>
      </c>
      <c r="O14" s="6">
        <v>0</v>
      </c>
      <c r="P14" s="6" t="s">
        <v>41</v>
      </c>
      <c r="Q14" s="4">
        <v>0.9</v>
      </c>
      <c r="R14" s="4">
        <v>0.9</v>
      </c>
      <c r="S14" s="4">
        <v>0.79</v>
      </c>
      <c r="T14" s="6" t="s">
        <v>41</v>
      </c>
    </row>
    <row r="15" spans="1:20" s="3" customFormat="1" x14ac:dyDescent="0.25">
      <c r="A15" s="3" t="s">
        <v>13</v>
      </c>
      <c r="B15" s="4">
        <v>0.18</v>
      </c>
      <c r="C15" s="4">
        <v>0.18</v>
      </c>
      <c r="D15" s="4">
        <v>0.32</v>
      </c>
      <c r="E15" s="4">
        <v>0.32</v>
      </c>
      <c r="F15" s="4">
        <f t="shared" si="0"/>
        <v>1</v>
      </c>
      <c r="G15" s="3" t="s">
        <v>25</v>
      </c>
      <c r="H15" s="4">
        <v>0.15</v>
      </c>
      <c r="I15" s="4">
        <v>0.21</v>
      </c>
      <c r="J15" s="4">
        <v>0.4</v>
      </c>
      <c r="K15" s="4">
        <v>0.89</v>
      </c>
      <c r="L15" s="4" t="s">
        <v>17</v>
      </c>
      <c r="M15" s="4">
        <v>0.98</v>
      </c>
      <c r="N15" s="5">
        <v>0.7</v>
      </c>
      <c r="O15" s="6">
        <v>0</v>
      </c>
      <c r="P15" s="6" t="s">
        <v>41</v>
      </c>
      <c r="Q15" s="4">
        <v>0.9</v>
      </c>
      <c r="R15" s="4">
        <v>0.9</v>
      </c>
      <c r="S15" s="4">
        <v>0.79</v>
      </c>
      <c r="T15" s="6" t="s">
        <v>41</v>
      </c>
    </row>
    <row r="16" spans="1:20" s="3" customFormat="1" x14ac:dyDescent="0.25">
      <c r="A16" s="3" t="s">
        <v>14</v>
      </c>
      <c r="B16" s="4">
        <v>0.18</v>
      </c>
      <c r="C16" s="4">
        <v>0.18</v>
      </c>
      <c r="D16" s="4">
        <v>0.32</v>
      </c>
      <c r="E16" s="4">
        <v>0.32</v>
      </c>
      <c r="F16" s="4">
        <f t="shared" si="0"/>
        <v>1</v>
      </c>
      <c r="G16" s="3" t="s">
        <v>25</v>
      </c>
      <c r="H16" s="4">
        <v>0</v>
      </c>
      <c r="I16" s="4">
        <v>0.2</v>
      </c>
      <c r="J16" s="4">
        <v>0.6</v>
      </c>
      <c r="K16" s="4">
        <v>1</v>
      </c>
      <c r="L16" s="4" t="s">
        <v>17</v>
      </c>
      <c r="M16" s="4">
        <v>0.98</v>
      </c>
      <c r="N16" s="5">
        <v>0.7</v>
      </c>
      <c r="O16" s="6">
        <v>0</v>
      </c>
      <c r="P16" s="6" t="s">
        <v>41</v>
      </c>
      <c r="Q16" s="4">
        <v>0.9</v>
      </c>
      <c r="R16" s="4">
        <v>0.9</v>
      </c>
      <c r="S16" s="4">
        <v>0.79</v>
      </c>
      <c r="T16" s="6" t="s">
        <v>41</v>
      </c>
    </row>
    <row r="17" spans="1:20" s="3" customFormat="1" x14ac:dyDescent="0.25">
      <c r="A17" s="3" t="s">
        <v>15</v>
      </c>
      <c r="B17" s="4">
        <v>0.18</v>
      </c>
      <c r="C17" s="4">
        <v>0.18</v>
      </c>
      <c r="D17" s="4">
        <v>0.32</v>
      </c>
      <c r="E17" s="4">
        <v>0.32</v>
      </c>
      <c r="F17" s="4">
        <f t="shared" si="0"/>
        <v>1</v>
      </c>
      <c r="G17" s="3" t="s">
        <v>25</v>
      </c>
      <c r="H17" s="4">
        <v>0.15</v>
      </c>
      <c r="I17" s="4">
        <v>0.21</v>
      </c>
      <c r="J17" s="4">
        <v>0.4</v>
      </c>
      <c r="K17" s="4">
        <v>0.89</v>
      </c>
      <c r="L17" s="4" t="s">
        <v>17</v>
      </c>
      <c r="M17" s="4">
        <v>0.98</v>
      </c>
      <c r="N17" s="5">
        <v>0.7</v>
      </c>
      <c r="O17" s="6">
        <v>0</v>
      </c>
      <c r="P17" s="6" t="s">
        <v>41</v>
      </c>
      <c r="Q17" s="4">
        <v>0.9</v>
      </c>
      <c r="R17" s="4">
        <v>0.9</v>
      </c>
      <c r="S17" s="4">
        <v>0.79</v>
      </c>
      <c r="T17" s="6" t="s">
        <v>41</v>
      </c>
    </row>
    <row r="18" spans="1:20" s="3" customFormat="1" x14ac:dyDescent="0.25">
      <c r="A18" s="14" t="s">
        <v>31</v>
      </c>
      <c r="B18" s="7"/>
      <c r="C18" s="7"/>
      <c r="D18" s="7"/>
      <c r="E18" s="7"/>
      <c r="F18" s="7"/>
      <c r="G18" s="7"/>
      <c r="H18" s="4">
        <v>0.15</v>
      </c>
      <c r="I18" s="4">
        <v>0.56000000000000005</v>
      </c>
      <c r="J18" s="4">
        <v>0.8</v>
      </c>
      <c r="K18" s="4">
        <v>1</v>
      </c>
      <c r="L18" s="4" t="s">
        <v>32</v>
      </c>
    </row>
    <row r="19" spans="1:20" s="3" customFormat="1" x14ac:dyDescent="0.25">
      <c r="H19" s="4"/>
      <c r="I19" s="4"/>
      <c r="J19" s="4"/>
      <c r="K19" s="4"/>
      <c r="L19" s="4"/>
    </row>
    <row r="20" spans="1:20" s="3" customFormat="1" x14ac:dyDescent="0.25">
      <c r="H20" s="4"/>
      <c r="I20" s="4"/>
      <c r="J20" s="4"/>
      <c r="K20" s="4"/>
      <c r="L20" s="4"/>
    </row>
    <row r="21" spans="1:20" s="3" customFormat="1" x14ac:dyDescent="0.25">
      <c r="H21" s="4"/>
      <c r="I21" s="4"/>
      <c r="J21" s="4"/>
      <c r="K21" s="4"/>
      <c r="L21" s="8"/>
    </row>
    <row r="22" spans="1:20" s="3" customFormat="1" x14ac:dyDescent="0.25">
      <c r="H22" s="4"/>
      <c r="I22" s="4"/>
      <c r="J22" s="4"/>
      <c r="K22" s="4"/>
      <c r="L22" s="8"/>
    </row>
    <row r="23" spans="1:20" s="3" customFormat="1" x14ac:dyDescent="0.25">
      <c r="H23" s="8"/>
      <c r="I23" s="8"/>
      <c r="J23" s="8"/>
      <c r="K23" s="8"/>
      <c r="L23" s="8"/>
    </row>
    <row r="24" spans="1:20" s="3" customFormat="1" x14ac:dyDescent="0.25">
      <c r="H24" s="8"/>
      <c r="I24" s="8"/>
      <c r="J24" s="8"/>
      <c r="K24" s="8"/>
      <c r="L24" s="8"/>
    </row>
    <row r="25" spans="1:20" s="3" customFormat="1" x14ac:dyDescent="0.25"/>
    <row r="26" spans="1:20" s="3" customFormat="1" x14ac:dyDescent="0.25"/>
  </sheetData>
  <sortState xmlns:xlrd2="http://schemas.microsoft.com/office/spreadsheetml/2017/richdata2" ref="A2:R17">
    <sortCondition ref="A2:A17"/>
  </sortState>
  <hyperlinks>
    <hyperlink ref="L4" r:id="rId1" xr:uid="{9BE21DC8-4DA0-4117-BD1C-3B94B7169110}"/>
    <hyperlink ref="L2" r:id="rId2" xr:uid="{D310AAC2-6BC0-439B-A47C-9293FD24DE61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Province of British Columbia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Hember, Robert FLNR:EX</dc:creator>
  <cp:lastModifiedBy>Hember, Robert FOR:EX</cp:lastModifiedBy>
  <dcterms:created xsi:type="dcterms:W3CDTF">2018-08-30T16:19:39Z</dcterms:created>
  <dcterms:modified xsi:type="dcterms:W3CDTF">2025-03-30T16:45:43Z</dcterms:modified>
</cp:coreProperties>
</file>